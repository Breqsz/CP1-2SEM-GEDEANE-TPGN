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0D623575-3289-4AB8-B137-4F6C16EE626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sta de Compras" sheetId="1" r:id="rId1"/>
    <sheet name="Links e 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C6" i="1" s="1"/>
  <c r="G16" i="1"/>
  <c r="G15" i="1"/>
  <c r="G14" i="1"/>
  <c r="G13" i="1"/>
  <c r="G12" i="1"/>
  <c r="C7" i="1" s="1"/>
  <c r="G11" i="1"/>
  <c r="C5" i="1"/>
</calcChain>
</file>

<file path=xl/sharedStrings.xml><?xml version="1.0" encoding="utf-8"?>
<sst xmlns="http://schemas.openxmlformats.org/spreadsheetml/2006/main" count="132" uniqueCount="84">
  <si>
    <t>Resumo</t>
  </si>
  <si>
    <t>Itens obrigatórios</t>
  </si>
  <si>
    <t>Total obrigatório (R$)</t>
  </si>
  <si>
    <t>Total com protoboard (R$)</t>
  </si>
  <si>
    <t>#</t>
  </si>
  <si>
    <t>Categoria</t>
  </si>
  <si>
    <t>Componente</t>
  </si>
  <si>
    <t>Obrigatório?</t>
  </si>
  <si>
    <t>Qtd.</t>
  </si>
  <si>
    <t>Preço unit.</t>
  </si>
  <si>
    <t>Subtotal</t>
  </si>
  <si>
    <t>Loja</t>
  </si>
  <si>
    <t>Link de referência</t>
  </si>
  <si>
    <t>Observações</t>
  </si>
  <si>
    <t>Controladora</t>
  </si>
  <si>
    <t>Módulo WiFi ESP32 Bluetooth 30 pinos</t>
  </si>
  <si>
    <t>Sim</t>
  </si>
  <si>
    <t>Eletrogate</t>
  </si>
  <si>
    <t>https://www.eletrogate.com/modulo-wifi-esp32-bluetooth-30-pinos</t>
  </si>
  <si>
    <t>Bluetooth já integrado; não precisa HC-05/HM-10.</t>
  </si>
  <si>
    <t>Cabo USB</t>
  </si>
  <si>
    <t>Cabo Micro USB 30 cm</t>
  </si>
  <si>
    <t>https://www.eletrogate.com/cabo-micro-usb-azul-30-cm</t>
  </si>
  <si>
    <t>Para programação e comunicação com o computador.</t>
  </si>
  <si>
    <t>Bluetooth</t>
  </si>
  <si>
    <t>HC-05 / HM-10</t>
  </si>
  <si>
    <t>Não aplicável</t>
  </si>
  <si>
    <t>—</t>
  </si>
  <si>
    <t>Não comprar usando ESP32.</t>
  </si>
  <si>
    <t>Ponte H</t>
  </si>
  <si>
    <t>Ponte H Dupla L298N</t>
  </si>
  <si>
    <t>https://www.eletrogate.com/ponte-h-dupla-l298n</t>
  </si>
  <si>
    <t>Controle dos dois motores DC.</t>
  </si>
  <si>
    <t>Jumpers</t>
  </si>
  <si>
    <t>20 M/M + 20 M/F + 20 F/F (20 cm)</t>
  </si>
  <si>
    <t>https://www.eletrogate.com/cabos-jumpers</t>
  </si>
  <si>
    <t>3 kits de R$ 4,90.</t>
  </si>
  <si>
    <t>Sensor</t>
  </si>
  <si>
    <t>Sensor ultrassônico HC-SR04</t>
  </si>
  <si>
    <t>https://www.eletrogate.com/modulo-sensor-de-distancia-ultrassonico-hc-sr04</t>
  </si>
  <si>
    <t>Sensor de distância/obstáculos.</t>
  </si>
  <si>
    <t>Alimentação</t>
  </si>
  <si>
    <t>Bateria Li-Ion 18650 3,7V 2550mAh</t>
  </si>
  <si>
    <t>RoboCore</t>
  </si>
  <si>
    <t>https://www.robocore.net/baterias-fontes/bateria-li-ion-18650-37v-2550mah</t>
  </si>
  <si>
    <t>2 unidades. Carregador apropriado não incluído.</t>
  </si>
  <si>
    <t>Suporte para 2 baterias 18650 com chave ON/OFF</t>
  </si>
  <si>
    <t>https://www.eletrogate.com/suporte-para-2-baterias-18650-com-chave-onoff</t>
  </si>
  <si>
    <t>Suporte em série para as duas baterias.</t>
  </si>
  <si>
    <t>Estrutura</t>
  </si>
  <si>
    <t>Kit chassi 2WD com motores e rodas</t>
  </si>
  <si>
    <t>https://www.eletrogate.com/kit-chassi-2wd-robo-para-arduino</t>
  </si>
  <si>
    <t>Inclui chassi, 2 motores e rodas.</t>
  </si>
  <si>
    <t>Carenagem</t>
  </si>
  <si>
    <t>Papelão reaproveitado / papel cartão</t>
  </si>
  <si>
    <t>Reaproveitamento</t>
  </si>
  <si>
    <t>Estimativa R$ 0 usando material reaproveitado.</t>
  </si>
  <si>
    <t>Protoboard</t>
  </si>
  <si>
    <t>Mini protoboard 170 pontos</t>
  </si>
  <si>
    <t>Opcional</t>
  </si>
  <si>
    <t>https://www.eletrogate.com/mini-protoboard-170-pontos</t>
  </si>
  <si>
    <t>Opcional; facilita as conexões.</t>
  </si>
  <si>
    <t>Links e fontes de preços</t>
  </si>
  <si>
    <t>Consulta em 28/08/2026 | preço normal, sem frete e sem desconto via Pix</t>
  </si>
  <si>
    <t>Item</t>
  </si>
  <si>
    <t>Preço</t>
  </si>
  <si>
    <t>Link</t>
  </si>
  <si>
    <t>Status</t>
  </si>
  <si>
    <t>ESP32 30 pinos</t>
  </si>
  <si>
    <t>Verificado em 28/08/2026</t>
  </si>
  <si>
    <t>Ponte H L298N</t>
  </si>
  <si>
    <t>Jumpers macho-macho 20 un.</t>
  </si>
  <si>
    <t>https://www.eletrogate.com/jumpers-macho-macho-20-unidades-de-20-cm</t>
  </si>
  <si>
    <t>Jumpers macho-fêmea 20 un.</t>
  </si>
  <si>
    <t>https://www.eletrogate.com/jumpers-macho-femea-20-unidades-de-20-cm</t>
  </si>
  <si>
    <t>Jumpers fêmea-fêmea 20 un.</t>
  </si>
  <si>
    <t>https://www.eletrogate.com/jumpers-femea-femea-20-unidades-de-20-cm</t>
  </si>
  <si>
    <t>Sensor HC-SR04</t>
  </si>
  <si>
    <t>Bateria 18650 2550mAh</t>
  </si>
  <si>
    <t>Suporte 2x 18650 ON/OFF</t>
  </si>
  <si>
    <t>Kit chassi 2WD</t>
  </si>
  <si>
    <t>Observação: o ESP32 já possui Bluetooth; por isso HC-05/HM-10 não entra no custo desta configuração.</t>
  </si>
  <si>
    <t>Segurança: baterias 18650 exigem carregador apropriado. O carregador não fazia parte da lista mínima fornecida.</t>
  </si>
  <si>
    <t>Carrinho-robô  Planilha de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</si>
</sst>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2">
    <font>
      <sz val="11"/>
      <name val="Carlito"/>
    </font>
    <font>
      <b/>
      <sz val="15"/>
      <color rgb="FF111111"/>
      <name val="Carlito"/>
    </font>
    <font>
      <sz val="9"/>
      <color rgb="FF666666"/>
      <name val="Carlito"/>
    </font>
    <font>
      <b/>
      <sz val="10"/>
      <color rgb="FF222222"/>
      <name val="Carlito"/>
    </font>
    <font>
      <b/>
      <sz val="9"/>
      <color rgb="FF555555"/>
      <name val="Carlito"/>
    </font>
    <font>
      <i/>
      <sz val="9"/>
      <color rgb="FF666666"/>
      <name val="Carlito"/>
    </font>
    <font>
      <sz val="9"/>
      <color rgb="FF222222"/>
      <name val="Carlito"/>
    </font>
    <font>
      <sz val="8"/>
      <color rgb="FF444444"/>
      <name val="Carlito"/>
    </font>
    <font>
      <b/>
      <sz val="14"/>
      <color rgb="FF111111"/>
      <name val="Carlito"/>
    </font>
    <font>
      <sz val="9"/>
      <color rgb="FF555555"/>
      <name val="Carlito"/>
    </font>
    <font>
      <b/>
      <sz val="11"/>
      <color rgb="FF1111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0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164" fontId="6" fillId="0" borderId="0" xfId="0" applyNumberFormat="1" applyFont="1" applyFill="1" applyBorder="1" applyAlignment="1">
      <alignment vertical="center" wrapText="1"/>
    </xf>
    <xf numFmtId="164" fontId="6" fillId="0" borderId="2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7" fillId="0" borderId="2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left"/>
    </xf>
    <xf numFmtId="2" fontId="10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/>
    <xf numFmtId="0" fontId="9" fillId="0" borderId="0" xfId="0" applyNumberFormat="1" applyFont="1" applyFill="1" applyBorder="1" applyAlignment="1">
      <alignment wrapText="1"/>
    </xf>
    <xf numFmtId="0" fontId="11" fillId="0" borderId="0" xfId="1" applyNumberFormat="1" applyFill="1" applyBorder="1" applyAlignment="1">
      <alignment vertical="center" wrapText="1"/>
    </xf>
    <xf numFmtId="0" fontId="11" fillId="0" borderId="2" xfId="1" applyNumberForma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trogate.com/kit-chassi-2wd-robo-para-arduino" TargetMode="External"/><Relationship Id="rId3" Type="http://schemas.openxmlformats.org/officeDocument/2006/relationships/hyperlink" Target="https://www.eletrogate.com/ponte-h-dupla-l298n" TargetMode="External"/><Relationship Id="rId7" Type="http://schemas.openxmlformats.org/officeDocument/2006/relationships/hyperlink" Target="https://www.eletrogate.com/suporte-para-2-baterias-18650-com-chave-onoff" TargetMode="External"/><Relationship Id="rId2" Type="http://schemas.openxmlformats.org/officeDocument/2006/relationships/hyperlink" Target="https://www.eletrogate.com/cabo-micro-usb-azul-30-cm" TargetMode="External"/><Relationship Id="rId1" Type="http://schemas.openxmlformats.org/officeDocument/2006/relationships/hyperlink" Target="https://www.eletrogate.com/modulo-wifi-esp32-bluetooth-30-pinos" TargetMode="External"/><Relationship Id="rId6" Type="http://schemas.openxmlformats.org/officeDocument/2006/relationships/hyperlink" Target="https://www.robocore.net/baterias-fontes/bateria-li-ion-18650-37v-2550mah" TargetMode="External"/><Relationship Id="rId5" Type="http://schemas.openxmlformats.org/officeDocument/2006/relationships/hyperlink" Target="https://www.eletrogate.com/modulo-sensor-de-distancia-ultrassonico-hc-sr04" TargetMode="External"/><Relationship Id="rId4" Type="http://schemas.openxmlformats.org/officeDocument/2006/relationships/hyperlink" Target="https://www.eletrogate.com/cabos-jumpers" TargetMode="External"/><Relationship Id="rId9" Type="http://schemas.openxmlformats.org/officeDocument/2006/relationships/hyperlink" Target="https://www.eletrogate.com/mini-protoboard-170-po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19" sqref="I19"/>
    </sheetView>
  </sheetViews>
  <sheetFormatPr defaultRowHeight="14.25"/>
  <cols>
    <col min="1" max="1" width="5" customWidth="1"/>
    <col min="2" max="2" width="14" customWidth="1"/>
    <col min="3" max="3" width="31" customWidth="1"/>
    <col min="4" max="4" width="14" customWidth="1"/>
    <col min="5" max="5" width="7" customWidth="1"/>
    <col min="6" max="7" width="14" customWidth="1"/>
    <col min="8" max="8" width="15" customWidth="1"/>
    <col min="9" max="9" width="44" customWidth="1"/>
    <col min="10" max="10" width="34" customWidth="1"/>
  </cols>
  <sheetData>
    <row r="1" spans="1:10" ht="26.1" customHeight="1">
      <c r="A1" s="16" t="s">
        <v>83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4" spans="1:10">
      <c r="A4" s="19" t="s">
        <v>0</v>
      </c>
      <c r="B4" s="19"/>
      <c r="C4" s="1"/>
      <c r="D4" s="1"/>
      <c r="E4" s="1"/>
      <c r="F4" s="1"/>
    </row>
    <row r="5" spans="1:10" ht="15">
      <c r="A5" s="20" t="s">
        <v>1</v>
      </c>
      <c r="B5" s="21"/>
      <c r="C5" s="14">
        <f>COUNTIF(D11:D21,"Sim")</f>
        <v>9</v>
      </c>
    </row>
    <row r="6" spans="1:10" ht="15">
      <c r="A6" s="21" t="s">
        <v>2</v>
      </c>
      <c r="B6" s="22"/>
      <c r="C6" s="15">
        <f>SUMIF(D11:D21,"Sim",G11:G21)</f>
        <v>231.85000000000002</v>
      </c>
    </row>
    <row r="7" spans="1:10" ht="15">
      <c r="A7" s="20" t="s">
        <v>3</v>
      </c>
      <c r="B7" s="22"/>
      <c r="C7" s="15">
        <f>SUM(G11:G21)</f>
        <v>234.75000000000003</v>
      </c>
    </row>
    <row r="8" spans="1:10">
      <c r="A8" s="18"/>
      <c r="B8" s="18"/>
      <c r="C8" s="18"/>
      <c r="D8" s="18"/>
      <c r="E8" s="18"/>
      <c r="F8" s="18"/>
      <c r="G8" s="18"/>
      <c r="H8" s="18"/>
      <c r="I8" s="18"/>
      <c r="J8" s="18"/>
    </row>
    <row r="10" spans="1:10" ht="26.1" customHeight="1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</row>
    <row r="11" spans="1:10" ht="28.5">
      <c r="A11" s="7">
        <v>1</v>
      </c>
      <c r="B11" s="3" t="s">
        <v>14</v>
      </c>
      <c r="C11" s="3" t="s">
        <v>15</v>
      </c>
      <c r="D11" s="7" t="s">
        <v>16</v>
      </c>
      <c r="E11" s="7">
        <v>1</v>
      </c>
      <c r="F11" s="9">
        <v>44.85</v>
      </c>
      <c r="G11" s="9">
        <f t="shared" ref="G11:G21" si="0">E11*F11</f>
        <v>44.85</v>
      </c>
      <c r="H11" s="3" t="s">
        <v>17</v>
      </c>
      <c r="I11" s="26" t="s">
        <v>18</v>
      </c>
      <c r="J11" s="3" t="s">
        <v>19</v>
      </c>
    </row>
    <row r="12" spans="1:10" ht="28.5">
      <c r="A12" s="7">
        <v>2</v>
      </c>
      <c r="B12" s="3" t="s">
        <v>20</v>
      </c>
      <c r="C12" s="3" t="s">
        <v>21</v>
      </c>
      <c r="D12" s="7" t="s">
        <v>16</v>
      </c>
      <c r="E12" s="7">
        <v>1</v>
      </c>
      <c r="F12" s="9">
        <v>6.9</v>
      </c>
      <c r="G12" s="9">
        <f t="shared" si="0"/>
        <v>6.9</v>
      </c>
      <c r="H12" s="3" t="s">
        <v>17</v>
      </c>
      <c r="I12" s="26" t="s">
        <v>22</v>
      </c>
      <c r="J12" s="3" t="s">
        <v>23</v>
      </c>
    </row>
    <row r="13" spans="1:10">
      <c r="A13" s="7">
        <v>3</v>
      </c>
      <c r="B13" s="3" t="s">
        <v>24</v>
      </c>
      <c r="C13" s="3" t="s">
        <v>25</v>
      </c>
      <c r="D13" s="7" t="s">
        <v>26</v>
      </c>
      <c r="E13" s="7">
        <v>0</v>
      </c>
      <c r="F13" s="9">
        <v>0</v>
      </c>
      <c r="G13" s="9">
        <f t="shared" si="0"/>
        <v>0</v>
      </c>
      <c r="H13" s="3" t="s">
        <v>27</v>
      </c>
      <c r="I13" s="11"/>
      <c r="J13" s="3" t="s">
        <v>28</v>
      </c>
    </row>
    <row r="14" spans="1:10">
      <c r="A14" s="7">
        <v>4</v>
      </c>
      <c r="B14" s="3" t="s">
        <v>29</v>
      </c>
      <c r="C14" s="3" t="s">
        <v>30</v>
      </c>
      <c r="D14" s="7" t="s">
        <v>16</v>
      </c>
      <c r="E14" s="7">
        <v>1</v>
      </c>
      <c r="F14" s="9">
        <v>14.9</v>
      </c>
      <c r="G14" s="9">
        <f t="shared" si="0"/>
        <v>14.9</v>
      </c>
      <c r="H14" s="3" t="s">
        <v>17</v>
      </c>
      <c r="I14" s="26" t="s">
        <v>31</v>
      </c>
      <c r="J14" s="3" t="s">
        <v>32</v>
      </c>
    </row>
    <row r="15" spans="1:10">
      <c r="A15" s="7">
        <v>5</v>
      </c>
      <c r="B15" s="3" t="s">
        <v>33</v>
      </c>
      <c r="C15" s="3" t="s">
        <v>34</v>
      </c>
      <c r="D15" s="7" t="s">
        <v>16</v>
      </c>
      <c r="E15" s="7">
        <v>1</v>
      </c>
      <c r="F15" s="9">
        <v>14.7</v>
      </c>
      <c r="G15" s="9">
        <f t="shared" si="0"/>
        <v>14.7</v>
      </c>
      <c r="H15" s="3" t="s">
        <v>17</v>
      </c>
      <c r="I15" s="26" t="s">
        <v>35</v>
      </c>
      <c r="J15" s="3" t="s">
        <v>36</v>
      </c>
    </row>
    <row r="16" spans="1:10" ht="28.5">
      <c r="A16" s="7">
        <v>6</v>
      </c>
      <c r="B16" s="3" t="s">
        <v>37</v>
      </c>
      <c r="C16" s="3" t="s">
        <v>38</v>
      </c>
      <c r="D16" s="7" t="s">
        <v>16</v>
      </c>
      <c r="E16" s="7">
        <v>1</v>
      </c>
      <c r="F16" s="9">
        <v>9.9</v>
      </c>
      <c r="G16" s="9">
        <f t="shared" si="0"/>
        <v>9.9</v>
      </c>
      <c r="H16" s="3" t="s">
        <v>17</v>
      </c>
      <c r="I16" s="26" t="s">
        <v>39</v>
      </c>
      <c r="J16" s="3" t="s">
        <v>40</v>
      </c>
    </row>
    <row r="17" spans="1:10" ht="28.5">
      <c r="A17" s="7">
        <v>7</v>
      </c>
      <c r="B17" s="3" t="s">
        <v>41</v>
      </c>
      <c r="C17" s="3" t="s">
        <v>42</v>
      </c>
      <c r="D17" s="7" t="s">
        <v>16</v>
      </c>
      <c r="E17" s="7">
        <v>2</v>
      </c>
      <c r="F17" s="9">
        <v>39.9</v>
      </c>
      <c r="G17" s="9">
        <f t="shared" si="0"/>
        <v>79.8</v>
      </c>
      <c r="H17" s="3" t="s">
        <v>43</v>
      </c>
      <c r="I17" s="26" t="s">
        <v>44</v>
      </c>
      <c r="J17" s="3" t="s">
        <v>45</v>
      </c>
    </row>
    <row r="18" spans="1:10" ht="28.5">
      <c r="A18" s="7">
        <v>8</v>
      </c>
      <c r="B18" s="3" t="s">
        <v>41</v>
      </c>
      <c r="C18" s="3" t="s">
        <v>46</v>
      </c>
      <c r="D18" s="7" t="s">
        <v>16</v>
      </c>
      <c r="E18" s="7">
        <v>1</v>
      </c>
      <c r="F18" s="9">
        <v>7.9</v>
      </c>
      <c r="G18" s="9">
        <f t="shared" si="0"/>
        <v>7.9</v>
      </c>
      <c r="H18" s="3" t="s">
        <v>17</v>
      </c>
      <c r="I18" s="26" t="s">
        <v>47</v>
      </c>
      <c r="J18" s="3" t="s">
        <v>48</v>
      </c>
    </row>
    <row r="19" spans="1:10" ht="28.5">
      <c r="A19" s="7">
        <v>9</v>
      </c>
      <c r="B19" s="3" t="s">
        <v>49</v>
      </c>
      <c r="C19" s="3" t="s">
        <v>50</v>
      </c>
      <c r="D19" s="7" t="s">
        <v>16</v>
      </c>
      <c r="E19" s="7">
        <v>1</v>
      </c>
      <c r="F19" s="9">
        <v>52.9</v>
      </c>
      <c r="G19" s="9">
        <f t="shared" si="0"/>
        <v>52.9</v>
      </c>
      <c r="H19" s="3" t="s">
        <v>17</v>
      </c>
      <c r="I19" s="26" t="s">
        <v>51</v>
      </c>
      <c r="J19" s="3" t="s">
        <v>52</v>
      </c>
    </row>
    <row r="20" spans="1:10" ht="24">
      <c r="A20" s="7">
        <v>10</v>
      </c>
      <c r="B20" s="3" t="s">
        <v>53</v>
      </c>
      <c r="C20" s="3" t="s">
        <v>54</v>
      </c>
      <c r="D20" s="7" t="s">
        <v>16</v>
      </c>
      <c r="E20" s="7">
        <v>1</v>
      </c>
      <c r="F20" s="9">
        <v>0</v>
      </c>
      <c r="G20" s="9">
        <f t="shared" si="0"/>
        <v>0</v>
      </c>
      <c r="H20" s="3" t="s">
        <v>55</v>
      </c>
      <c r="I20" s="11"/>
      <c r="J20" s="3" t="s">
        <v>56</v>
      </c>
    </row>
    <row r="21" spans="1:10" ht="28.5">
      <c r="A21" s="8">
        <v>11</v>
      </c>
      <c r="B21" s="4" t="s">
        <v>57</v>
      </c>
      <c r="C21" s="4" t="s">
        <v>58</v>
      </c>
      <c r="D21" s="8" t="s">
        <v>59</v>
      </c>
      <c r="E21" s="8">
        <v>1</v>
      </c>
      <c r="F21" s="10">
        <v>2.9</v>
      </c>
      <c r="G21" s="10">
        <f t="shared" si="0"/>
        <v>2.9</v>
      </c>
      <c r="H21" s="4" t="s">
        <v>17</v>
      </c>
      <c r="I21" s="27" t="s">
        <v>60</v>
      </c>
      <c r="J21" s="4" t="s">
        <v>61</v>
      </c>
    </row>
  </sheetData>
  <mergeCells count="7">
    <mergeCell ref="A1:J1"/>
    <mergeCell ref="A2:J2"/>
    <mergeCell ref="A8:J8"/>
    <mergeCell ref="A4:B4"/>
    <mergeCell ref="A5:B5"/>
    <mergeCell ref="A6:B6"/>
    <mergeCell ref="A7:B7"/>
  </mergeCells>
  <hyperlinks>
    <hyperlink ref="I11" r:id="rId1" xr:uid="{609F3F81-B7CB-4B1E-9D47-07047D92FFB5}"/>
    <hyperlink ref="I12" r:id="rId2" xr:uid="{61C10CCE-AF33-458E-97CD-CAFAECC6BBDD}"/>
    <hyperlink ref="I14" r:id="rId3" xr:uid="{80321813-40D0-48AB-9622-0E0799E48412}"/>
    <hyperlink ref="I15" r:id="rId4" xr:uid="{EC0DB493-592E-40E6-8644-9D291130BFAB}"/>
    <hyperlink ref="I16" r:id="rId5" xr:uid="{E7914F54-426E-4360-9336-74AA9E5F160E}"/>
    <hyperlink ref="I17" r:id="rId6" xr:uid="{CC3E8A92-F4A8-454F-8FB9-4EE88F0AAACF}"/>
    <hyperlink ref="I18" r:id="rId7" xr:uid="{B0297AF2-EB79-4243-8A6E-8620B6263ECC}"/>
    <hyperlink ref="I19" r:id="rId8" xr:uid="{B90BB150-542A-4E48-91EE-CF0735BA9348}"/>
    <hyperlink ref="I21" r:id="rId9" xr:uid="{6CBFCF28-7BF7-493B-8A48-B74F2A9123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25"/>
  <cols>
    <col min="1" max="1" width="28" customWidth="1"/>
    <col min="2" max="2" width="16" customWidth="1"/>
    <col min="3" max="3" width="13" customWidth="1"/>
    <col min="4" max="4" width="60" customWidth="1"/>
    <col min="5" max="5" width="22" customWidth="1"/>
  </cols>
  <sheetData>
    <row r="1" spans="1:5" ht="18">
      <c r="A1" s="23" t="s">
        <v>62</v>
      </c>
      <c r="B1" s="23"/>
      <c r="C1" s="23"/>
      <c r="D1" s="23"/>
      <c r="E1" s="23"/>
    </row>
    <row r="2" spans="1:5">
      <c r="A2" s="24" t="s">
        <v>63</v>
      </c>
      <c r="B2" s="24"/>
      <c r="C2" s="24"/>
      <c r="D2" s="24"/>
      <c r="E2" s="24"/>
    </row>
    <row r="4" spans="1:5">
      <c r="A4" s="13" t="s">
        <v>64</v>
      </c>
      <c r="B4" s="13" t="s">
        <v>11</v>
      </c>
      <c r="C4" s="13" t="s">
        <v>65</v>
      </c>
      <c r="D4" s="13" t="s">
        <v>66</v>
      </c>
      <c r="E4" s="13" t="s">
        <v>67</v>
      </c>
    </row>
    <row r="5" spans="1:5">
      <c r="A5" s="3" t="s">
        <v>68</v>
      </c>
      <c r="B5" s="3" t="s">
        <v>17</v>
      </c>
      <c r="C5" s="5">
        <v>44.85</v>
      </c>
      <c r="D5" s="11" t="s">
        <v>18</v>
      </c>
      <c r="E5" s="3" t="s">
        <v>69</v>
      </c>
    </row>
    <row r="6" spans="1:5">
      <c r="A6" s="3" t="s">
        <v>21</v>
      </c>
      <c r="B6" s="3" t="s">
        <v>17</v>
      </c>
      <c r="C6" s="5">
        <v>6.9</v>
      </c>
      <c r="D6" s="11" t="s">
        <v>22</v>
      </c>
      <c r="E6" s="3" t="s">
        <v>69</v>
      </c>
    </row>
    <row r="7" spans="1:5">
      <c r="A7" s="3" t="s">
        <v>70</v>
      </c>
      <c r="B7" s="3" t="s">
        <v>17</v>
      </c>
      <c r="C7" s="5">
        <v>14.9</v>
      </c>
      <c r="D7" s="11" t="s">
        <v>31</v>
      </c>
      <c r="E7" s="3" t="s">
        <v>69</v>
      </c>
    </row>
    <row r="8" spans="1:5">
      <c r="A8" s="3" t="s">
        <v>71</v>
      </c>
      <c r="B8" s="3" t="s">
        <v>17</v>
      </c>
      <c r="C8" s="5">
        <v>4.9000000000000004</v>
      </c>
      <c r="D8" s="11" t="s">
        <v>72</v>
      </c>
      <c r="E8" s="3" t="s">
        <v>69</v>
      </c>
    </row>
    <row r="9" spans="1:5">
      <c r="A9" s="3" t="s">
        <v>73</v>
      </c>
      <c r="B9" s="3" t="s">
        <v>17</v>
      </c>
      <c r="C9" s="5">
        <v>4.9000000000000004</v>
      </c>
      <c r="D9" s="11" t="s">
        <v>74</v>
      </c>
      <c r="E9" s="3" t="s">
        <v>69</v>
      </c>
    </row>
    <row r="10" spans="1:5">
      <c r="A10" s="3" t="s">
        <v>75</v>
      </c>
      <c r="B10" s="3" t="s">
        <v>17</v>
      </c>
      <c r="C10" s="5">
        <v>4.9000000000000004</v>
      </c>
      <c r="D10" s="11" t="s">
        <v>76</v>
      </c>
      <c r="E10" s="3" t="s">
        <v>69</v>
      </c>
    </row>
    <row r="11" spans="1:5">
      <c r="A11" s="3" t="s">
        <v>77</v>
      </c>
      <c r="B11" s="3" t="s">
        <v>17</v>
      </c>
      <c r="C11" s="5">
        <v>9.9</v>
      </c>
      <c r="D11" s="11" t="s">
        <v>39</v>
      </c>
      <c r="E11" s="3" t="s">
        <v>69</v>
      </c>
    </row>
    <row r="12" spans="1:5">
      <c r="A12" s="3" t="s">
        <v>78</v>
      </c>
      <c r="B12" s="3" t="s">
        <v>43</v>
      </c>
      <c r="C12" s="5">
        <v>39.9</v>
      </c>
      <c r="D12" s="11" t="s">
        <v>44</v>
      </c>
      <c r="E12" s="3" t="s">
        <v>69</v>
      </c>
    </row>
    <row r="13" spans="1:5">
      <c r="A13" s="3" t="s">
        <v>79</v>
      </c>
      <c r="B13" s="3" t="s">
        <v>17</v>
      </c>
      <c r="C13" s="5">
        <v>7.9</v>
      </c>
      <c r="D13" s="11" t="s">
        <v>47</v>
      </c>
      <c r="E13" s="3" t="s">
        <v>69</v>
      </c>
    </row>
    <row r="14" spans="1:5">
      <c r="A14" s="3" t="s">
        <v>80</v>
      </c>
      <c r="B14" s="3" t="s">
        <v>17</v>
      </c>
      <c r="C14" s="5">
        <v>52.9</v>
      </c>
      <c r="D14" s="11" t="s">
        <v>51</v>
      </c>
      <c r="E14" s="3" t="s">
        <v>69</v>
      </c>
    </row>
    <row r="15" spans="1:5">
      <c r="A15" s="4" t="s">
        <v>58</v>
      </c>
      <c r="B15" s="4" t="s">
        <v>17</v>
      </c>
      <c r="C15" s="6">
        <v>2.9</v>
      </c>
      <c r="D15" s="12" t="s">
        <v>60</v>
      </c>
      <c r="E15" s="4" t="s">
        <v>69</v>
      </c>
    </row>
    <row r="18" spans="1:5">
      <c r="A18" s="25" t="s">
        <v>81</v>
      </c>
      <c r="B18" s="25"/>
      <c r="C18" s="25"/>
      <c r="D18" s="25"/>
      <c r="E18" s="25"/>
    </row>
    <row r="20" spans="1:5">
      <c r="A20" s="25" t="s">
        <v>82</v>
      </c>
      <c r="B20" s="25"/>
      <c r="C20" s="25"/>
      <c r="D20" s="25"/>
      <c r="E20" s="25"/>
    </row>
  </sheetData>
  <mergeCells count="4">
    <mergeCell ref="A1:E1"/>
    <mergeCell ref="A2:E2"/>
    <mergeCell ref="A18:E18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Compras</vt:lpstr>
      <vt:lpstr>Links 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Laboratório FIAP</cp:lastModifiedBy>
  <dcterms:modified xsi:type="dcterms:W3CDTF">2026-08-29T00:37:09Z</dcterms:modified>
</cp:coreProperties>
</file>